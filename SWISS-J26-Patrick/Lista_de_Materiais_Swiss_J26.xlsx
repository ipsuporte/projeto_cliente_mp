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Materiais" sheetId="1" state="visible" r:id="rId3"/>
    <sheet name="Resumo por Categoria" sheetId="2" state="visible" r:id="rId4"/>
    <sheet name="Mapa de Pontos por Ambiente" sheetId="3" state="visible" r:id="rId5"/>
    <sheet name="Memória de Cálcul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<sst xmlns="http://schemas.openxmlformats.org/spreadsheetml/2006/main" count="192" uniqueCount="129">
  <si>
    <t xml:space="preserve">Lista de Materiais — Rede Wi-Fi, CFTV e Cabeamento Estruturado</t>
  </si>
  <si>
    <t xml:space="preserve">Projeto: Residência Swiss J26 (Patrick de Freitas Alves) — Quadra J, Lote 26, Condomínio Swiss Parque, Rio Branco/AC</t>
  </si>
  <si>
    <t xml:space="preserve">Base: escopo-rede-wifi-cftv-cabeamento.md — preencher coluna "Preço Unitário" (célula amarela) com cotação real antes de fechar orçamento.</t>
  </si>
  <si>
    <t xml:space="preserve">Nº</t>
  </si>
  <si>
    <t xml:space="preserve">Categoria</t>
  </si>
  <si>
    <t xml:space="preserve">Item</t>
  </si>
  <si>
    <t xml:space="preserve">Especificação / Modelo sugerido</t>
  </si>
  <si>
    <t xml:space="preserve">Local / Ponto</t>
  </si>
  <si>
    <t xml:space="preserve">Qtde</t>
  </si>
  <si>
    <t xml:space="preserve">Un.</t>
  </si>
  <si>
    <t xml:space="preserve">Preço Unit. (R$)</t>
  </si>
  <si>
    <t xml:space="preserve">Preço Total (R$)</t>
  </si>
  <si>
    <t xml:space="preserve">Observações</t>
  </si>
  <si>
    <t xml:space="preserve">Wi-Fi</t>
  </si>
  <si>
    <t xml:space="preserve">Access Point Wi-Fi 6 indoor (teto)</t>
  </si>
  <si>
    <t xml:space="preserve">UniFi U6-Lite ou equivalente, dual-band, PoE</t>
  </si>
  <si>
    <t xml:space="preserve">Living / Circulação</t>
  </si>
  <si>
    <t xml:space="preserve">un</t>
  </si>
  <si>
    <t xml:space="preserve">AP-01 — cabeamento dedicado</t>
  </si>
  <si>
    <t xml:space="preserve">Corredor das Suítes</t>
  </si>
  <si>
    <t xml:space="preserve">AP-02 — cabeamento dedicado</t>
  </si>
  <si>
    <t xml:space="preserve">Access Point Wi-Fi 6 externo IP65 (com suporte de fixação)</t>
  </si>
  <si>
    <t xml:space="preserve">UniFi U6-Mesh ou equivalente, PoE</t>
  </si>
  <si>
    <t xml:space="preserve">Área Gourmet / Deck</t>
  </si>
  <si>
    <t xml:space="preserve">AP-03 — sob projeção do beiral</t>
  </si>
  <si>
    <t xml:space="preserve">Garagem</t>
  </si>
  <si>
    <t xml:space="preserve">AP-04 — item opcional, confirmar com o cliente</t>
  </si>
  <si>
    <t xml:space="preserve">CFTV</t>
  </si>
  <si>
    <t xml:space="preserve">Câmera Ubiquiti UniFi Protect G5 Dome</t>
  </si>
  <si>
    <t xml:space="preserve">5MP, IR ~30m, H.265, IP67, PoE 802.3af</t>
  </si>
  <si>
    <t xml:space="preserve">Muros e cantos do lote</t>
  </si>
  <si>
    <t xml:space="preserve">CAM-01 a CAM-06 — mesmo modelo em todas as posições; ajustar máscara de privacidade em CAM-01 e CAM-06 (cantos)</t>
  </si>
  <si>
    <t xml:space="preserve">UniFi Protect Console (UNVR ou Dream Machine Pro/SE) + HD 6TB</t>
  </si>
  <si>
    <t xml:space="preserve">Compressão H.265, gravação por movimento, retenção ~30-45 dias</t>
  </si>
  <si>
    <t xml:space="preserve">Escritório</t>
  </si>
  <si>
    <t xml:space="preserve">Câmeras UniFi Protect exigem console UniFi OS, não um NVR ONVIF genérico. Upgrade opcional: 2x4TB em RAID1</t>
  </si>
  <si>
    <t xml:space="preserve">Caixa de passagem externa IP65 (câmeras/AP externo)</t>
  </si>
  <si>
    <t xml:space="preserve">Para folga e emenda de cabo PoE</t>
  </si>
  <si>
    <t xml:space="preserve">Perímetro externo</t>
  </si>
  <si>
    <t xml:space="preserve">—</t>
  </si>
  <si>
    <t xml:space="preserve">Infraestrutura Passiva</t>
  </si>
  <si>
    <t xml:space="preserve">Rack de parede 9U–12U completo</t>
  </si>
  <si>
    <t xml:space="preserve">Gabinete fechado com porta ventilada + patch panel Cat6 24 portas + organizador de cabos + régua de tomadas</t>
  </si>
  <si>
    <t xml:space="preserve">kit</t>
  </si>
  <si>
    <t xml:space="preserve">Ambiente de permanência — priorizar modelo silencioso</t>
  </si>
  <si>
    <t xml:space="preserve">Switch PoE+ gerenciável 24 portas</t>
  </si>
  <si>
    <t xml:space="preserve">Budget PoE compatível com 4 APs + 6 câmeras, com suporte a VLANs</t>
  </si>
  <si>
    <t xml:space="preserve">Nobreak 1kVA</t>
  </si>
  <si>
    <t xml:space="preserve">Para o rack e o roteador de borda</t>
  </si>
  <si>
    <t xml:space="preserve">Circuito elétrico dedicado recomendado</t>
  </si>
  <si>
    <t xml:space="preserve">Cabeamento Estruturado</t>
  </si>
  <si>
    <t xml:space="preserve">Cabo Cat6 U/UTP — caixa 305m</t>
  </si>
  <si>
    <t xml:space="preserve">Uso interno, PoE-rated</t>
  </si>
  <si>
    <t xml:space="preserve">Backbone geral (a partir do Escritório)</t>
  </si>
  <si>
    <t xml:space="preserve">cx</t>
  </si>
  <si>
    <t xml:space="preserve">Atende os 16 pontos de rede (4 Wi-Fi + 6 CFTV + 6 TV) mais o uplink da ONU, já com margem de instalação — quantidade calculada na aba Memória de Cálculo</t>
  </si>
  <si>
    <t xml:space="preserve">Kit de terminação dos pontos de rede</t>
  </si>
  <si>
    <t xml:space="preserve">18 keystone jacks Cat6 + 6 espelhos/placas 4x2 c/ saída RJ45 + 18 conectores RJ45 + 18 patch cords Cat6</t>
  </si>
  <si>
    <t xml:space="preserve">16 pontos de rede (TVs/APs/câmeras)</t>
  </si>
  <si>
    <t xml:space="preserve">Kit de infraestrutura de passagem</t>
  </si>
  <si>
    <t xml:space="preserve">10 caixas de passagem 4x4 embutidas + 3 rolos (50m) de eletroduto corrugado reforçado 3/4"</t>
  </si>
  <si>
    <t xml:space="preserve">Backbone geral (Circulação)</t>
  </si>
  <si>
    <t xml:space="preserve">Serviços (opcional)</t>
  </si>
  <si>
    <t xml:space="preserve">Instalação, configuração e comissionamento</t>
  </si>
  <si>
    <t xml:space="preserve">Mão de obra — passagem de cabos, fixação, configuração de VLANs/SSIDs, testes</t>
  </si>
  <si>
    <t xml:space="preserve">Geral</t>
  </si>
  <si>
    <t xml:space="preserve">vb</t>
  </si>
  <si>
    <t xml:space="preserve">Fora do escopo de materiais — valor conforme prestador de serviço</t>
  </si>
  <si>
    <t xml:space="preserve">TOTAL GERAL (materiais com preço informado)</t>
  </si>
  <si>
    <t xml:space="preserve">Nota: preços não pesquisados nesta etapa de escopo. Células amarelas (Preço Unit.) devem ser preenchidas com cotação real do integrador/fornecedor antes de fechar orçamento.</t>
  </si>
  <si>
    <t xml:space="preserve">Resumo por Categoria</t>
  </si>
  <si>
    <t xml:space="preserve">Qtde de Itens</t>
  </si>
  <si>
    <t xml:space="preserve">Total (R$)</t>
  </si>
  <si>
    <t xml:space="preserve">TOTAL GERAL</t>
  </si>
  <si>
    <t xml:space="preserve">Mapa de Pontos por Ambiente — referência do escopo técnico</t>
  </si>
  <si>
    <t xml:space="preserve">Complementa a Lista de Materiais mostrando onde cada ponto ativo fica fisicamente.</t>
  </si>
  <si>
    <t xml:space="preserve">Ambiente</t>
  </si>
  <si>
    <t xml:space="preserve">Ponto Wi-Fi (AP)</t>
  </si>
  <si>
    <t xml:space="preserve">Câmera CFTV nas proximidades</t>
  </si>
  <si>
    <t xml:space="preserve">Ponto de TV (RJ45)</t>
  </si>
  <si>
    <t xml:space="preserve">Observação</t>
  </si>
  <si>
    <t xml:space="preserve">Living</t>
  </si>
  <si>
    <t xml:space="preserve">AP-01</t>
  </si>
  <si>
    <t xml:space="preserve">1x</t>
  </si>
  <si>
    <t xml:space="preserve">Ponto principal</t>
  </si>
  <si>
    <t xml:space="preserve">Cozinha/Jantar</t>
  </si>
  <si>
    <t xml:space="preserve">AP-01 (cobertura estendida)</t>
  </si>
  <si>
    <t xml:space="preserve">CAM-06 (cobertura estendida, canto SO)</t>
  </si>
  <si>
    <t xml:space="preserve">Rack instalado neste ambiente (patch direto)</t>
  </si>
  <si>
    <t xml:space="preserve">Suíte Master + Closet</t>
  </si>
  <si>
    <t xml:space="preserve">AP-02 (cobertura estendida)</t>
  </si>
  <si>
    <t xml:space="preserve">CAM-02 e CAM-03 (nicho BWC e recuo lateral oeste)</t>
  </si>
  <si>
    <t xml:space="preserve">Ponto mais distante do rack (~26-29m)</t>
  </si>
  <si>
    <t xml:space="preserve">Suíte 01</t>
  </si>
  <si>
    <t xml:space="preserve">AP-02</t>
  </si>
  <si>
    <t xml:space="preserve">CAM-04 (posição central)</t>
  </si>
  <si>
    <t xml:space="preserve">Suíte 02</t>
  </si>
  <si>
    <t xml:space="preserve">CAM-04 e CAM-05 (central e muro leste/pátio)</t>
  </si>
  <si>
    <t xml:space="preserve">Área Gourmet + Deck</t>
  </si>
  <si>
    <t xml:space="preserve">AP-03</t>
  </si>
  <si>
    <t xml:space="preserve">CAM-01 (canto noroeste)</t>
  </si>
  <si>
    <t xml:space="preserve">Ponto externo coberto pelo beiral</t>
  </si>
  <si>
    <t xml:space="preserve">Piscina</t>
  </si>
  <si>
    <t xml:space="preserve">AP-03 (cobertura estendida)</t>
  </si>
  <si>
    <t xml:space="preserve">Sem equipamentos elétricos na borda molhada</t>
  </si>
  <si>
    <t xml:space="preserve">AP-04 (opcional, externo)</t>
  </si>
  <si>
    <t xml:space="preserve">CAM-06 (canto sudoeste)</t>
  </si>
  <si>
    <t xml:space="preserve">Entrada da ONU da operadora; acesso de pedestres (canto sudeste) sem câmera dedicada — ver item 4.1</t>
  </si>
  <si>
    <t xml:space="preserve">Depósito / Lavanderia / Secagem</t>
  </si>
  <si>
    <t xml:space="preserve">CAM-06 (cobertura estendida)</t>
  </si>
  <si>
    <t xml:space="preserve">Memória de Cálculo — Metragem de Cabo Cat6</t>
  </si>
  <si>
    <t xml:space="preserve">Fonte: escopo-rede-wifi-cftv-cabeamento.md, itens 5, 6.1 e 9 (estimativas de escopo, a validar em campo).</t>
  </si>
  <si>
    <t xml:space="preserve">Componente</t>
  </si>
  <si>
    <t xml:space="preserve">Valor</t>
  </si>
  <si>
    <t xml:space="preserve">Unidade</t>
  </si>
  <si>
    <t xml:space="preserve">Wi-Fi — 4 pontos (AP-01, AP-02, AP-03 e AP-04 opcional)</t>
  </si>
  <si>
    <t xml:space="preserve">m</t>
  </si>
  <si>
    <t xml:space="preserve">Distância-base ~39m + margem de instalação</t>
  </si>
  <si>
    <t xml:space="preserve">CFTV — 6 pontos (CAM-01 a CAM-06)</t>
  </si>
  <si>
    <t xml:space="preserve">Distância-base ~61m + margem de instalação</t>
  </si>
  <si>
    <t xml:space="preserve">TV — 6 pontos (Living, Suíte Master, Suíte 01, Suíte 02, Escritório, Gourmet)</t>
  </si>
  <si>
    <t xml:space="preserve">Distância-base ~52m + margem de instalação</t>
  </si>
  <si>
    <t xml:space="preserve">Uplink ONU (Garagem) → Rack (Escritório)</t>
  </si>
  <si>
    <t xml:space="preserve">Distância-base ~6-8m + margem de instalação</t>
  </si>
  <si>
    <t xml:space="preserve">TOTAL DE CABO CAT6 A COMPRAR</t>
  </si>
  <si>
    <t xml:space="preserve">Caixas de cabo Cat6 necessárias (305m cada)</t>
  </si>
  <si>
    <t xml:space="preserve">Puxado automaticamente para a Lista de Materiais</t>
  </si>
  <si>
    <t xml:space="preserve">Folga restante após atender todos os pontos</t>
  </si>
  <si>
    <t xml:space="preserve">Margem para ajustes de rota em campo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</si>
</sst>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&quot;(R$ &quot;#,##0.00\);\-"/>
    <numFmt numFmtId="166" formatCode="&quot;R$ &quot;#,##0.0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15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n">
        <v>1</v>
      </c>
      <c r="B6" s="5" t="s">
        <v>13</v>
      </c>
      <c r="C6" s="5" t="s">
        <v>14</v>
      </c>
      <c r="D6" s="6" t="s">
        <v>15</v>
      </c>
      <c r="E6" s="6" t="s">
        <v>16</v>
      </c>
      <c r="F6" s="4" t="n">
        <v>1</v>
      </c>
      <c r="G6" s="4" t="s">
        <v>17</v>
      </c>
      <c r="H6" s="7"/>
      <c r="I6" s="8" t="str">
        <f aca="false">IF(H6="","",F6*H6)</f>
        <v/>
      </c>
      <c r="J6" s="6" t="s">
        <v>18</v>
      </c>
    </row>
    <row r="7" customFormat="false" ht="15" hidden="false" customHeight="false" outlineLevel="0" collapsed="false">
      <c r="A7" s="4" t="n">
        <v>2</v>
      </c>
      <c r="B7" s="5" t="s">
        <v>13</v>
      </c>
      <c r="C7" s="5" t="s">
        <v>14</v>
      </c>
      <c r="D7" s="6" t="s">
        <v>15</v>
      </c>
      <c r="E7" s="6" t="s">
        <v>19</v>
      </c>
      <c r="F7" s="4" t="n">
        <v>1</v>
      </c>
      <c r="G7" s="4" t="s">
        <v>17</v>
      </c>
      <c r="H7" s="7"/>
      <c r="I7" s="8" t="str">
        <f aca="false">IF(H7="","",F7*H7)</f>
        <v/>
      </c>
      <c r="J7" s="6" t="s">
        <v>20</v>
      </c>
    </row>
    <row r="8" customFormat="false" ht="15" hidden="false" customHeight="false" outlineLevel="0" collapsed="false">
      <c r="A8" s="4" t="n">
        <v>3</v>
      </c>
      <c r="B8" s="5" t="s">
        <v>13</v>
      </c>
      <c r="C8" s="5" t="s">
        <v>21</v>
      </c>
      <c r="D8" s="6" t="s">
        <v>22</v>
      </c>
      <c r="E8" s="6" t="s">
        <v>23</v>
      </c>
      <c r="F8" s="4" t="n">
        <v>1</v>
      </c>
      <c r="G8" s="4" t="s">
        <v>17</v>
      </c>
      <c r="H8" s="7"/>
      <c r="I8" s="8" t="str">
        <f aca="false">IF(H8="","",F8*H8)</f>
        <v/>
      </c>
      <c r="J8" s="6" t="s">
        <v>24</v>
      </c>
    </row>
    <row r="9" customFormat="false" ht="15" hidden="false" customHeight="false" outlineLevel="0" collapsed="false">
      <c r="A9" s="4" t="n">
        <v>4</v>
      </c>
      <c r="B9" s="5" t="s">
        <v>13</v>
      </c>
      <c r="C9" s="5" t="s">
        <v>21</v>
      </c>
      <c r="D9" s="6" t="s">
        <v>22</v>
      </c>
      <c r="E9" s="6" t="s">
        <v>25</v>
      </c>
      <c r="F9" s="4" t="n">
        <v>1</v>
      </c>
      <c r="G9" s="4" t="s">
        <v>17</v>
      </c>
      <c r="H9" s="7"/>
      <c r="I9" s="8" t="str">
        <f aca="false">IF(H9="","",F9*H9)</f>
        <v/>
      </c>
      <c r="J9" s="6" t="s">
        <v>26</v>
      </c>
    </row>
    <row r="10" customFormat="false" ht="41.75" hidden="false" customHeight="false" outlineLevel="0" collapsed="false">
      <c r="A10" s="9" t="n">
        <v>5</v>
      </c>
      <c r="B10" s="10" t="s">
        <v>27</v>
      </c>
      <c r="C10" s="10" t="s">
        <v>28</v>
      </c>
      <c r="D10" s="11" t="s">
        <v>29</v>
      </c>
      <c r="E10" s="11" t="s">
        <v>30</v>
      </c>
      <c r="F10" s="9" t="n">
        <v>6</v>
      </c>
      <c r="G10" s="9" t="s">
        <v>17</v>
      </c>
      <c r="H10" s="12"/>
      <c r="I10" s="13" t="str">
        <f aca="false">IF(H10="","",F10*H10)</f>
        <v/>
      </c>
      <c r="J10" s="11" t="s">
        <v>31</v>
      </c>
    </row>
    <row r="11" customFormat="false" ht="41.75" hidden="false" customHeight="false" outlineLevel="0" collapsed="false">
      <c r="A11" s="9" t="n">
        <v>6</v>
      </c>
      <c r="B11" s="10" t="s">
        <v>27</v>
      </c>
      <c r="C11" s="10" t="s">
        <v>32</v>
      </c>
      <c r="D11" s="11" t="s">
        <v>33</v>
      </c>
      <c r="E11" s="11" t="s">
        <v>34</v>
      </c>
      <c r="F11" s="9" t="n">
        <v>1</v>
      </c>
      <c r="G11" s="9" t="s">
        <v>17</v>
      </c>
      <c r="H11" s="12"/>
      <c r="I11" s="13" t="str">
        <f aca="false">IF(H11="","",F11*H11)</f>
        <v/>
      </c>
      <c r="J11" s="11" t="s">
        <v>35</v>
      </c>
    </row>
    <row r="12" customFormat="false" ht="15" hidden="false" customHeight="false" outlineLevel="0" collapsed="false">
      <c r="A12" s="9" t="n">
        <v>7</v>
      </c>
      <c r="B12" s="10" t="s">
        <v>27</v>
      </c>
      <c r="C12" s="10" t="s">
        <v>36</v>
      </c>
      <c r="D12" s="11" t="s">
        <v>37</v>
      </c>
      <c r="E12" s="11" t="s">
        <v>38</v>
      </c>
      <c r="F12" s="9" t="n">
        <v>4</v>
      </c>
      <c r="G12" s="9" t="s">
        <v>17</v>
      </c>
      <c r="H12" s="12"/>
      <c r="I12" s="13" t="str">
        <f aca="false">IF(H12="","",F12*H12)</f>
        <v/>
      </c>
      <c r="J12" s="11" t="s">
        <v>39</v>
      </c>
    </row>
    <row r="13" customFormat="false" ht="41.75" hidden="false" customHeight="false" outlineLevel="0" collapsed="false">
      <c r="A13" s="14" t="n">
        <v>8</v>
      </c>
      <c r="B13" s="15" t="s">
        <v>40</v>
      </c>
      <c r="C13" s="15" t="s">
        <v>41</v>
      </c>
      <c r="D13" s="16" t="s">
        <v>42</v>
      </c>
      <c r="E13" s="16" t="s">
        <v>34</v>
      </c>
      <c r="F13" s="14" t="n">
        <v>1</v>
      </c>
      <c r="G13" s="14" t="s">
        <v>43</v>
      </c>
      <c r="H13" s="17"/>
      <c r="I13" s="18" t="str">
        <f aca="false">IF(H13="","",F13*H13)</f>
        <v/>
      </c>
      <c r="J13" s="16" t="s">
        <v>44</v>
      </c>
    </row>
    <row r="14" customFormat="false" ht="28.35" hidden="false" customHeight="false" outlineLevel="0" collapsed="false">
      <c r="A14" s="14" t="n">
        <v>9</v>
      </c>
      <c r="B14" s="15" t="s">
        <v>40</v>
      </c>
      <c r="C14" s="15" t="s">
        <v>45</v>
      </c>
      <c r="D14" s="16" t="s">
        <v>46</v>
      </c>
      <c r="E14" s="16" t="s">
        <v>34</v>
      </c>
      <c r="F14" s="14" t="n">
        <v>1</v>
      </c>
      <c r="G14" s="14" t="s">
        <v>17</v>
      </c>
      <c r="H14" s="17"/>
      <c r="I14" s="18" t="str">
        <f aca="false">IF(H14="","",F14*H14)</f>
        <v/>
      </c>
      <c r="J14" s="16" t="s">
        <v>39</v>
      </c>
    </row>
    <row r="15" customFormat="false" ht="15" hidden="false" customHeight="false" outlineLevel="0" collapsed="false">
      <c r="A15" s="14" t="n">
        <v>10</v>
      </c>
      <c r="B15" s="15" t="s">
        <v>40</v>
      </c>
      <c r="C15" s="15" t="s">
        <v>47</v>
      </c>
      <c r="D15" s="16" t="s">
        <v>48</v>
      </c>
      <c r="E15" s="16" t="s">
        <v>34</v>
      </c>
      <c r="F15" s="14" t="n">
        <v>1</v>
      </c>
      <c r="G15" s="14" t="s">
        <v>17</v>
      </c>
      <c r="H15" s="17"/>
      <c r="I15" s="18" t="str">
        <f aca="false">IF(H15="","",F15*H15)</f>
        <v/>
      </c>
      <c r="J15" s="16" t="s">
        <v>49</v>
      </c>
    </row>
    <row r="16" customFormat="false" ht="55.2" hidden="false" customHeight="false" outlineLevel="0" collapsed="false">
      <c r="A16" s="19" t="n">
        <v>11</v>
      </c>
      <c r="B16" s="20" t="s">
        <v>50</v>
      </c>
      <c r="C16" s="20" t="s">
        <v>51</v>
      </c>
      <c r="D16" s="21" t="s">
        <v>52</v>
      </c>
      <c r="E16" s="21" t="s">
        <v>53</v>
      </c>
      <c r="F16" s="19" t="n">
        <f aca="false">'Memória de Cálculo'!B11</f>
        <v>1</v>
      </c>
      <c r="G16" s="19" t="s">
        <v>54</v>
      </c>
      <c r="H16" s="22"/>
      <c r="I16" s="23" t="str">
        <f aca="false">IF(H16="","",F16*H16)</f>
        <v/>
      </c>
      <c r="J16" s="21" t="s">
        <v>55</v>
      </c>
    </row>
    <row r="17" customFormat="false" ht="41.75" hidden="false" customHeight="false" outlineLevel="0" collapsed="false">
      <c r="A17" s="19" t="n">
        <v>12</v>
      </c>
      <c r="B17" s="20" t="s">
        <v>50</v>
      </c>
      <c r="C17" s="20" t="s">
        <v>56</v>
      </c>
      <c r="D17" s="21" t="s">
        <v>57</v>
      </c>
      <c r="E17" s="21" t="s">
        <v>58</v>
      </c>
      <c r="F17" s="19" t="n">
        <v>1</v>
      </c>
      <c r="G17" s="19" t="s">
        <v>43</v>
      </c>
      <c r="H17" s="22"/>
      <c r="I17" s="23" t="str">
        <f aca="false">IF(H17="","",F17*H17)</f>
        <v/>
      </c>
      <c r="J17" s="21" t="s">
        <v>39</v>
      </c>
    </row>
    <row r="18" customFormat="false" ht="41.75" hidden="false" customHeight="false" outlineLevel="0" collapsed="false">
      <c r="A18" s="19" t="n">
        <v>13</v>
      </c>
      <c r="B18" s="20" t="s">
        <v>50</v>
      </c>
      <c r="C18" s="20" t="s">
        <v>59</v>
      </c>
      <c r="D18" s="21" t="s">
        <v>60</v>
      </c>
      <c r="E18" s="21" t="s">
        <v>61</v>
      </c>
      <c r="F18" s="19" t="n">
        <v>1</v>
      </c>
      <c r="G18" s="19" t="s">
        <v>43</v>
      </c>
      <c r="H18" s="22"/>
      <c r="I18" s="23" t="str">
        <f aca="false">IF(H18="","",F18*H18)</f>
        <v/>
      </c>
      <c r="J18" s="21" t="s">
        <v>39</v>
      </c>
    </row>
    <row r="19" customFormat="false" ht="28.35" hidden="false" customHeight="false" outlineLevel="0" collapsed="false">
      <c r="A19" s="24" t="n">
        <v>14</v>
      </c>
      <c r="B19" s="25" t="s">
        <v>62</v>
      </c>
      <c r="C19" s="25" t="s">
        <v>63</v>
      </c>
      <c r="D19" s="26" t="s">
        <v>64</v>
      </c>
      <c r="E19" s="26" t="s">
        <v>65</v>
      </c>
      <c r="F19" s="24" t="n">
        <v>1</v>
      </c>
      <c r="G19" s="24" t="s">
        <v>66</v>
      </c>
      <c r="H19" s="27"/>
      <c r="I19" s="28" t="str">
        <f aca="false">IF(H19="","",F19*H19)</f>
        <v/>
      </c>
      <c r="J19" s="26" t="s">
        <v>67</v>
      </c>
    </row>
    <row r="21" customFormat="false" ht="15" hidden="false" customHeight="false" outlineLevel="0" collapsed="false">
      <c r="C21" s="29" t="s">
        <v>68</v>
      </c>
      <c r="D21" s="29"/>
      <c r="E21" s="29"/>
      <c r="F21" s="29"/>
      <c r="G21" s="29"/>
      <c r="H21" s="29"/>
      <c r="I21" s="30" t="n">
        <f aca="false">SUM(I6:I19)</f>
        <v>0</v>
      </c>
    </row>
    <row r="23" customFormat="false" ht="15" hidden="false" customHeight="false" outlineLevel="0" collapsed="false">
      <c r="A23" s="2" t="s">
        <v>69</v>
      </c>
      <c r="B23" s="2"/>
      <c r="C23" s="2"/>
      <c r="D23" s="2"/>
      <c r="E23" s="2"/>
      <c r="F23" s="2"/>
      <c r="G23" s="2"/>
      <c r="H23" s="2"/>
      <c r="I23" s="2"/>
      <c r="J23" s="2"/>
    </row>
  </sheetData>
  <mergeCells count="5">
    <mergeCell ref="A1:J1"/>
    <mergeCell ref="A2:J2"/>
    <mergeCell ref="A3:J3"/>
    <mergeCell ref="C21:H21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70</v>
      </c>
      <c r="B1" s="1"/>
      <c r="C1" s="1"/>
    </row>
    <row r="3" customFormat="false" ht="15" hidden="false" customHeight="false" outlineLevel="0" collapsed="false">
      <c r="A3" s="3" t="s">
        <v>4</v>
      </c>
      <c r="B3" s="3" t="s">
        <v>71</v>
      </c>
      <c r="C3" s="3" t="s">
        <v>72</v>
      </c>
    </row>
    <row r="4" customFormat="false" ht="15" hidden="false" customHeight="false" outlineLevel="0" collapsed="false">
      <c r="A4" s="31" t="s">
        <v>13</v>
      </c>
      <c r="B4" s="31" t="n">
        <f aca="false">COUNTIF('Lista de Materiais'!$B$6:$B$19,A4)</f>
        <v>4</v>
      </c>
      <c r="C4" s="32" t="n">
        <f aca="false">SUMIF('Lista de Materiais'!$B$6:$B$19,A4,'Lista de Materiais'!$I$6:$I$19)</f>
        <v>0</v>
      </c>
    </row>
    <row r="5" customFormat="false" ht="15" hidden="false" customHeight="false" outlineLevel="0" collapsed="false">
      <c r="A5" s="33" t="s">
        <v>27</v>
      </c>
      <c r="B5" s="33" t="n">
        <f aca="false">COUNTIF('Lista de Materiais'!$B$6:$B$19,A5)</f>
        <v>3</v>
      </c>
      <c r="C5" s="34" t="n">
        <f aca="false">SUMIF('Lista de Materiais'!$B$6:$B$19,A5,'Lista de Materiais'!$I$6:$I$19)</f>
        <v>0</v>
      </c>
    </row>
    <row r="6" customFormat="false" ht="15" hidden="false" customHeight="false" outlineLevel="0" collapsed="false">
      <c r="A6" s="35" t="s">
        <v>50</v>
      </c>
      <c r="B6" s="35" t="n">
        <f aca="false">COUNTIF('Lista de Materiais'!$B$6:$B$19,A6)</f>
        <v>3</v>
      </c>
      <c r="C6" s="36" t="n">
        <f aca="false">SUMIF('Lista de Materiais'!$B$6:$B$19,A6,'Lista de Materiais'!$I$6:$I$19)</f>
        <v>0</v>
      </c>
    </row>
    <row r="7" customFormat="false" ht="15" hidden="false" customHeight="false" outlineLevel="0" collapsed="false">
      <c r="A7" s="37" t="s">
        <v>40</v>
      </c>
      <c r="B7" s="37" t="n">
        <f aca="false">COUNTIF('Lista de Materiais'!$B$6:$B$19,A7)</f>
        <v>3</v>
      </c>
      <c r="C7" s="38" t="n">
        <f aca="false">SUMIF('Lista de Materiais'!$B$6:$B$19,A7,'Lista de Materiais'!$I$6:$I$19)</f>
        <v>0</v>
      </c>
    </row>
    <row r="8" customFormat="false" ht="15" hidden="false" customHeight="false" outlineLevel="0" collapsed="false">
      <c r="A8" s="39" t="s">
        <v>62</v>
      </c>
      <c r="B8" s="39" t="n">
        <f aca="false">COUNTIF('Lista de Materiais'!$B$6:$B$19,A8)</f>
        <v>1</v>
      </c>
      <c r="C8" s="40" t="n">
        <f aca="false">SUMIF('Lista de Materiais'!$B$6:$B$19,A8,'Lista de Materiais'!$I$6:$I$19)</f>
        <v>0</v>
      </c>
    </row>
    <row r="10" customFormat="false" ht="15" hidden="false" customHeight="false" outlineLevel="0" collapsed="false">
      <c r="A10" s="41" t="s">
        <v>73</v>
      </c>
      <c r="C10" s="42" t="n">
        <f aca="false">SUM(C4:C8)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6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74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75</v>
      </c>
      <c r="B2" s="2"/>
      <c r="C2" s="2"/>
      <c r="D2" s="2"/>
      <c r="E2" s="2"/>
    </row>
    <row r="4" customFormat="false" ht="15" hidden="false" customHeight="false" outlineLevel="0" collapsed="false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</row>
    <row r="5" customFormat="false" ht="15" hidden="false" customHeight="false" outlineLevel="0" collapsed="false">
      <c r="A5" s="43" t="s">
        <v>81</v>
      </c>
      <c r="B5" s="43" t="s">
        <v>82</v>
      </c>
      <c r="C5" s="43" t="s">
        <v>39</v>
      </c>
      <c r="D5" s="43" t="s">
        <v>83</v>
      </c>
      <c r="E5" s="43" t="s">
        <v>84</v>
      </c>
    </row>
    <row r="6" customFormat="false" ht="15" hidden="false" customHeight="false" outlineLevel="0" collapsed="false">
      <c r="A6" s="43" t="s">
        <v>85</v>
      </c>
      <c r="B6" s="43" t="s">
        <v>86</v>
      </c>
      <c r="C6" s="43" t="s">
        <v>39</v>
      </c>
      <c r="D6" s="43" t="s">
        <v>39</v>
      </c>
      <c r="E6" s="43" t="s">
        <v>39</v>
      </c>
    </row>
    <row r="7" customFormat="false" ht="23.85" hidden="false" customHeight="false" outlineLevel="0" collapsed="false">
      <c r="A7" s="43" t="s">
        <v>34</v>
      </c>
      <c r="B7" s="43" t="s">
        <v>82</v>
      </c>
      <c r="C7" s="43" t="s">
        <v>87</v>
      </c>
      <c r="D7" s="43" t="s">
        <v>83</v>
      </c>
      <c r="E7" s="43" t="s">
        <v>88</v>
      </c>
    </row>
    <row r="8" customFormat="false" ht="23.85" hidden="false" customHeight="false" outlineLevel="0" collapsed="false">
      <c r="A8" s="43" t="s">
        <v>89</v>
      </c>
      <c r="B8" s="43" t="s">
        <v>90</v>
      </c>
      <c r="C8" s="43" t="s">
        <v>91</v>
      </c>
      <c r="D8" s="43" t="s">
        <v>83</v>
      </c>
      <c r="E8" s="43" t="s">
        <v>92</v>
      </c>
    </row>
    <row r="9" customFormat="false" ht="15" hidden="false" customHeight="false" outlineLevel="0" collapsed="false">
      <c r="A9" s="43" t="s">
        <v>93</v>
      </c>
      <c r="B9" s="43" t="s">
        <v>94</v>
      </c>
      <c r="C9" s="43" t="s">
        <v>95</v>
      </c>
      <c r="D9" s="43" t="s">
        <v>83</v>
      </c>
      <c r="E9" s="43" t="s">
        <v>39</v>
      </c>
    </row>
    <row r="10" customFormat="false" ht="23.85" hidden="false" customHeight="false" outlineLevel="0" collapsed="false">
      <c r="A10" s="43" t="s">
        <v>96</v>
      </c>
      <c r="B10" s="43" t="s">
        <v>94</v>
      </c>
      <c r="C10" s="43" t="s">
        <v>97</v>
      </c>
      <c r="D10" s="43" t="s">
        <v>83</v>
      </c>
      <c r="E10" s="43" t="s">
        <v>39</v>
      </c>
    </row>
    <row r="11" customFormat="false" ht="15" hidden="false" customHeight="false" outlineLevel="0" collapsed="false">
      <c r="A11" s="43" t="s">
        <v>98</v>
      </c>
      <c r="B11" s="43" t="s">
        <v>99</v>
      </c>
      <c r="C11" s="43" t="s">
        <v>100</v>
      </c>
      <c r="D11" s="43" t="s">
        <v>83</v>
      </c>
      <c r="E11" s="43" t="s">
        <v>101</v>
      </c>
    </row>
    <row r="12" customFormat="false" ht="15" hidden="false" customHeight="false" outlineLevel="0" collapsed="false">
      <c r="A12" s="43" t="s">
        <v>102</v>
      </c>
      <c r="B12" s="43" t="s">
        <v>103</v>
      </c>
      <c r="C12" s="43" t="s">
        <v>100</v>
      </c>
      <c r="D12" s="43" t="s">
        <v>39</v>
      </c>
      <c r="E12" s="43" t="s">
        <v>104</v>
      </c>
    </row>
    <row r="13" customFormat="false" ht="23.85" hidden="false" customHeight="false" outlineLevel="0" collapsed="false">
      <c r="A13" s="43" t="s">
        <v>25</v>
      </c>
      <c r="B13" s="43" t="s">
        <v>105</v>
      </c>
      <c r="C13" s="43" t="s">
        <v>106</v>
      </c>
      <c r="D13" s="43" t="s">
        <v>39</v>
      </c>
      <c r="E13" s="43" t="s">
        <v>107</v>
      </c>
    </row>
    <row r="14" customFormat="false" ht="15" hidden="false" customHeight="false" outlineLevel="0" collapsed="false">
      <c r="A14" s="43" t="s">
        <v>108</v>
      </c>
      <c r="B14" s="43" t="s">
        <v>86</v>
      </c>
      <c r="C14" s="43" t="s">
        <v>109</v>
      </c>
      <c r="D14" s="43" t="s">
        <v>39</v>
      </c>
      <c r="E14" s="43" t="s">
        <v>39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110</v>
      </c>
      <c r="B1" s="1"/>
      <c r="C1" s="1"/>
      <c r="D1" s="1"/>
    </row>
    <row r="2" customFormat="false" ht="15" hidden="false" customHeight="false" outlineLevel="0" collapsed="false">
      <c r="A2" s="2" t="s">
        <v>111</v>
      </c>
      <c r="B2" s="2"/>
      <c r="C2" s="2"/>
      <c r="D2" s="2"/>
    </row>
    <row r="4" customFormat="false" ht="15" hidden="false" customHeight="false" outlineLevel="0" collapsed="false">
      <c r="A4" s="44" t="s">
        <v>112</v>
      </c>
      <c r="B4" s="45" t="s">
        <v>113</v>
      </c>
      <c r="C4" s="45" t="s">
        <v>114</v>
      </c>
      <c r="D4" s="44" t="s">
        <v>80</v>
      </c>
    </row>
    <row r="5" customFormat="false" ht="15" hidden="false" customHeight="false" outlineLevel="0" collapsed="false">
      <c r="A5" s="43" t="s">
        <v>115</v>
      </c>
      <c r="B5" s="46" t="n">
        <v>45</v>
      </c>
      <c r="C5" s="47" t="s">
        <v>116</v>
      </c>
      <c r="D5" s="43" t="s">
        <v>117</v>
      </c>
    </row>
    <row r="6" customFormat="false" ht="15" hidden="false" customHeight="false" outlineLevel="0" collapsed="false">
      <c r="A6" s="43" t="s">
        <v>118</v>
      </c>
      <c r="B6" s="46" t="n">
        <v>70</v>
      </c>
      <c r="C6" s="47" t="s">
        <v>116</v>
      </c>
      <c r="D6" s="43" t="s">
        <v>119</v>
      </c>
    </row>
    <row r="7" customFormat="false" ht="15" hidden="false" customHeight="false" outlineLevel="0" collapsed="false">
      <c r="A7" s="43" t="s">
        <v>120</v>
      </c>
      <c r="B7" s="46" t="n">
        <v>60</v>
      </c>
      <c r="C7" s="47" t="s">
        <v>116</v>
      </c>
      <c r="D7" s="43" t="s">
        <v>121</v>
      </c>
    </row>
    <row r="8" customFormat="false" ht="15" hidden="false" customHeight="false" outlineLevel="0" collapsed="false">
      <c r="A8" s="43" t="s">
        <v>122</v>
      </c>
      <c r="B8" s="46" t="n">
        <v>10</v>
      </c>
      <c r="C8" s="47" t="s">
        <v>116</v>
      </c>
      <c r="D8" s="43" t="s">
        <v>123</v>
      </c>
    </row>
    <row r="9" customFormat="false" ht="15" hidden="false" customHeight="false" outlineLevel="0" collapsed="false">
      <c r="A9" s="43"/>
      <c r="B9" s="47"/>
      <c r="C9" s="47"/>
      <c r="D9" s="43"/>
    </row>
    <row r="10" customFormat="false" ht="15" hidden="false" customHeight="false" outlineLevel="0" collapsed="false">
      <c r="A10" s="48" t="s">
        <v>124</v>
      </c>
      <c r="B10" s="49" t="n">
        <f aca="false">SUM(B5:B8)</f>
        <v>185</v>
      </c>
      <c r="C10" s="47" t="s">
        <v>116</v>
      </c>
      <c r="D10" s="43"/>
    </row>
    <row r="11" customFormat="false" ht="15" hidden="false" customHeight="false" outlineLevel="0" collapsed="false">
      <c r="A11" s="48" t="s">
        <v>125</v>
      </c>
      <c r="B11" s="49" t="n">
        <f aca="false">ROUNDUP(B10/305,0)</f>
        <v>1</v>
      </c>
      <c r="C11" s="47" t="s">
        <v>54</v>
      </c>
      <c r="D11" s="43" t="s">
        <v>126</v>
      </c>
    </row>
    <row r="12" customFormat="false" ht="15" hidden="false" customHeight="false" outlineLevel="0" collapsed="false">
      <c r="A12" s="43" t="s">
        <v>127</v>
      </c>
      <c r="B12" s="47" t="n">
        <f aca="false">B11*305-B10</f>
        <v>120</v>
      </c>
      <c r="C12" s="47" t="s">
        <v>116</v>
      </c>
      <c r="D12" s="43" t="s">
        <v>128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2026-09-18T02:43:11Z</dcterms:created>
  <dc:creator>openpyxl</dc:creator>
  <dc:description/>
  <dc:language>en-US</dc:language>
  <cp:lastModifiedBy/>
  <dcterms:modified xsi:type="dcterms:W3CDTF">2026-09-18T02:43:11Z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