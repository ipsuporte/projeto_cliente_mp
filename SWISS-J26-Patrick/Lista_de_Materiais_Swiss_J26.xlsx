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Lista de Materiais" sheetId="1" state="visible" r:id="rId3"/>
    <sheet name="Resumo por Categoria" sheetId="2" state="visible" r:id="rId4"/>
    <sheet name="Mapa de Pontos por Ambiente" sheetId="3" state="visible" r:id="rId5"/>
    <sheet name="Memória de Cálculo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<sst xmlns="http://schemas.openxmlformats.org/spreadsheetml/2006/main" count="246" uniqueCount="151">
  <si>
    <t xml:space="preserve">Lista de Materiais — Rede Wi-Fi, CFTV e Cabeamento Estruturado</t>
  </si>
  <si>
    <t xml:space="preserve">Projeto: Residência Swiss J26 (Patrick de Freitas Alves) — Quadra J, Lote 26, Condomínio Swiss Parque, Rio Branco/AC</t>
  </si>
  <si>
    <t xml:space="preserve">Base: escopo-rede-wifi-cftv-cabeamento.md — preencher coluna "Preço Unitário" (célula amarela) com cotação real antes de fechar orçamento.</t>
  </si>
  <si>
    <t xml:space="preserve">Nº</t>
  </si>
  <si>
    <t xml:space="preserve">Categoria</t>
  </si>
  <si>
    <t xml:space="preserve">Item</t>
  </si>
  <si>
    <t xml:space="preserve">Especificação / Modelo sugerido</t>
  </si>
  <si>
    <t xml:space="preserve">Local / Ponto</t>
  </si>
  <si>
    <t xml:space="preserve">Qtde</t>
  </si>
  <si>
    <t xml:space="preserve">Un.</t>
  </si>
  <si>
    <t xml:space="preserve">Preço Unit. (R$)</t>
  </si>
  <si>
    <t xml:space="preserve">Preço Total (R$)</t>
  </si>
  <si>
    <t xml:space="preserve">Observações</t>
  </si>
  <si>
    <t xml:space="preserve">Wi-Fi</t>
  </si>
  <si>
    <t xml:space="preserve">Access Point Wi-Fi 6 indoor (teto)</t>
  </si>
  <si>
    <t xml:space="preserve">Ex.: UniFi U6-Lite / U6-Pro, dual-band, PoE</t>
  </si>
  <si>
    <t xml:space="preserve">AP-01 — Living / Circulação</t>
  </si>
  <si>
    <t xml:space="preserve">un</t>
  </si>
  <si>
    <t xml:space="preserve">Cabeamento dedicado, sem cascata</t>
  </si>
  <si>
    <t xml:space="preserve">AP-02 — Corredor das Suítes</t>
  </si>
  <si>
    <t xml:space="preserve">Access Point Wi-Fi 6 externo IP65</t>
  </si>
  <si>
    <t xml:space="preserve">Ex.: UniFi U6-Mesh / U6-IW, PoE</t>
  </si>
  <si>
    <t xml:space="preserve">AP-03 — Área Gourmet / Deck</t>
  </si>
  <si>
    <t xml:space="preserve">Instalar sob projeção do beiral</t>
  </si>
  <si>
    <t xml:space="preserve">AP-04 — Garagem (opcional)</t>
  </si>
  <si>
    <t xml:space="preserve">Opcional — avaliar com o cliente</t>
  </si>
  <si>
    <t xml:space="preserve">Suporte/bracket de fixação para AP externo</t>
  </si>
  <si>
    <t xml:space="preserve">Compatível com o modelo de AP escolhido</t>
  </si>
  <si>
    <t xml:space="preserve">AP-03 / AP-04</t>
  </si>
  <si>
    <t xml:space="preserve">—</t>
  </si>
  <si>
    <t xml:space="preserve">CFTV</t>
  </si>
  <si>
    <t xml:space="preserve">Câmera IP bullet varifocal 4MP PoE</t>
  </si>
  <si>
    <t xml:space="preserve">Lente 2,8–12mm, IR 30–40m, H.265+, IP66</t>
  </si>
  <si>
    <t xml:space="preserve">CAM-03/04/05/06 (muros laterais)</t>
  </si>
  <si>
    <t xml:space="preserve">Perímetro leste/oeste</t>
  </si>
  <si>
    <t xml:space="preserve">Câmera IP turret/dome 4MP PoE</t>
  </si>
  <si>
    <t xml:space="preserve">Lente fixa 2,8mm grande angular, IR 30–40m, H.265+, IP66</t>
  </si>
  <si>
    <t xml:space="preserve">CAM-01/02/07/08 (cantos)</t>
  </si>
  <si>
    <t xml:space="preserve">Cantos do lote — ajustar máscara de privacidade</t>
  </si>
  <si>
    <t xml:space="preserve">NVR 8 canais PoE</t>
  </si>
  <si>
    <t xml:space="preserve">Compressão H.265/H.265+, saída HDMI</t>
  </si>
  <si>
    <t xml:space="preserve">Rack — Escritório</t>
  </si>
  <si>
    <t xml:space="preserve">HD interno para NVR (6TB) ou 2x4TB RAID1</t>
  </si>
  <si>
    <t xml:space="preserve">Uso 24/7 (surveillance grade)</t>
  </si>
  <si>
    <t xml:space="preserve">2x4TB se optar por redundância RAID1</t>
  </si>
  <si>
    <t xml:space="preserve">Caixa de junção/passagem externa (câmeras/AP externo)</t>
  </si>
  <si>
    <t xml:space="preserve">IP65, para folga e emenda de cabo PoE</t>
  </si>
  <si>
    <t xml:space="preserve">Perímetro / áreas externas</t>
  </si>
  <si>
    <t xml:space="preserve">Cabeamento Estruturado</t>
  </si>
  <si>
    <t xml:space="preserve">Cabo Cat6 U/UTP — caixa 305m</t>
  </si>
  <si>
    <t xml:space="preserve">Uso interno, PoE-rated</t>
  </si>
  <si>
    <t xml:space="preserve">Backbone geral (rack no Escritório)</t>
  </si>
  <si>
    <t xml:space="preserve">cx</t>
  </si>
  <si>
    <t xml:space="preserve">Estimativa ~198m (ver aba Memória de Cálculo) — 1 caixa cobre com folga; reavaliar se o levantamento em campo indicar distâncias maiores</t>
  </si>
  <si>
    <t xml:space="preserve">Keystone Jack Cat6</t>
  </si>
  <si>
    <t xml:space="preserve">Fêmea, para pontos de TV/AP/câmera</t>
  </si>
  <si>
    <t xml:space="preserve">17 pontos + reserva</t>
  </si>
  <si>
    <t xml:space="preserve">Terminação nos pontos de rede</t>
  </si>
  <si>
    <t xml:space="preserve">Espelho/placa 4x2 com saída RJ45</t>
  </si>
  <si>
    <t xml:space="preserve">Padrão compatível com o restante do projeto elétrico</t>
  </si>
  <si>
    <t xml:space="preserve">6 pontos de TV</t>
  </si>
  <si>
    <t xml:space="preserve">Caixa de passagem 4x4 embutida</t>
  </si>
  <si>
    <t xml:space="preserve">Para pontos de AP e câmera embutidos em parede/teto</t>
  </si>
  <si>
    <t xml:space="preserve">4 APs + 8 câmeras</t>
  </si>
  <si>
    <t xml:space="preserve">Eletroduto corrugado reforçado 3/4" — rolo 50m</t>
  </si>
  <si>
    <t xml:space="preserve">Embutir em laje/contrapiso pela Circulação</t>
  </si>
  <si>
    <t xml:space="preserve">Backbone geral</t>
  </si>
  <si>
    <t xml:space="preserve">rl</t>
  </si>
  <si>
    <t xml:space="preserve">Estimativa ~150m</t>
  </si>
  <si>
    <t xml:space="preserve">Patch cord Cat6 (0,5–1,5m)</t>
  </si>
  <si>
    <t xml:space="preserve">Pronto, com conector RJ45</t>
  </si>
  <si>
    <t xml:space="preserve">Patch panel ↔ switch, switch ↔ dispositivo</t>
  </si>
  <si>
    <t xml:space="preserve">Conector RJ45 Cat6 macho</t>
  </si>
  <si>
    <t xml:space="preserve">Reserva para testes/emendas</t>
  </si>
  <si>
    <t xml:space="preserve">Geral</t>
  </si>
  <si>
    <t xml:space="preserve">Infraestrutura Passiva</t>
  </si>
  <si>
    <t xml:space="preserve">Rack de parede / gabinete fechado 9U–12U</t>
  </si>
  <si>
    <t xml:space="preserve">Porta ventilada, modelo silencioso</t>
  </si>
  <si>
    <t xml:space="preserve">Escritório</t>
  </si>
  <si>
    <t xml:space="preserve">Ambiente de permanência — priorizar baixo ruído</t>
  </si>
  <si>
    <t xml:space="preserve">Patch panel Cat6 24 portas</t>
  </si>
  <si>
    <t xml:space="preserve">Organizador de cabos horizontal 1U</t>
  </si>
  <si>
    <t xml:space="preserve">Switch PoE+ gerenciável 24 portas</t>
  </si>
  <si>
    <t xml:space="preserve">Budget PoE compatível com 4 APs + 8 câmeras</t>
  </si>
  <si>
    <t xml:space="preserve">Suporta VLANs (item 7 do escopo)</t>
  </si>
  <si>
    <t xml:space="preserve">Nobreak 1kVA</t>
  </si>
  <si>
    <t xml:space="preserve">Para rack + roteador de borda</t>
  </si>
  <si>
    <t xml:space="preserve">Circuito elétrico dedicado recomendado</t>
  </si>
  <si>
    <t xml:space="preserve">Régua de tomadas 8 vias para rack</t>
  </si>
  <si>
    <t xml:space="preserve">Fixação em trilho 19"</t>
  </si>
  <si>
    <t xml:space="preserve">Serviços (opcional)</t>
  </si>
  <si>
    <t xml:space="preserve">Instalação, configuração e comissionamento</t>
  </si>
  <si>
    <t xml:space="preserve">Mão de obra — passagem de cabos, fixação, configuração de VLANs/SSIDs, testes</t>
  </si>
  <si>
    <t xml:space="preserve">vb</t>
  </si>
  <si>
    <t xml:space="preserve">Fora do escopo de materiais — valor conforme prestador de serviço</t>
  </si>
  <si>
    <t xml:space="preserve">TOTAL GERAL (materiais com preço informado)</t>
  </si>
  <si>
    <t xml:space="preserve">Nota: preços não pesquisados nesta etapa de escopo. Células amarelas (Preço Unit.) devem ser preenchidas com cotação real do integrador/fornecedor antes de fechar orçamento.</t>
  </si>
  <si>
    <t xml:space="preserve">Resumo por Categoria</t>
  </si>
  <si>
    <t xml:space="preserve">Qtde de Itens</t>
  </si>
  <si>
    <t xml:space="preserve">Total (R$)</t>
  </si>
  <si>
    <t xml:space="preserve">TOTAL GERAL</t>
  </si>
  <si>
    <t xml:space="preserve">Mapa de Pontos por Ambiente — referência do escopo técnico</t>
  </si>
  <si>
    <t xml:space="preserve">Complementa a Lista de Materiais mostrando onde cada ponto ativo fica fisicamente.</t>
  </si>
  <si>
    <t xml:space="preserve">Ambiente</t>
  </si>
  <si>
    <t xml:space="preserve">Ponto Wi-Fi (AP)</t>
  </si>
  <si>
    <t xml:space="preserve">Câmera CFTV nas proximidades</t>
  </si>
  <si>
    <t xml:space="preserve">Ponto de TV (RJ45)</t>
  </si>
  <si>
    <t xml:space="preserve">Observação</t>
  </si>
  <si>
    <t xml:space="preserve">Living</t>
  </si>
  <si>
    <t xml:space="preserve">AP-01</t>
  </si>
  <si>
    <t xml:space="preserve">1x</t>
  </si>
  <si>
    <t xml:space="preserve">Ponto principal</t>
  </si>
  <si>
    <t xml:space="preserve">Cozinha/Jantar</t>
  </si>
  <si>
    <t xml:space="preserve">AP-01 (cobertura estendida)</t>
  </si>
  <si>
    <t xml:space="preserve">CAM-06 (muro leste)</t>
  </si>
  <si>
    <t xml:space="preserve">Rack instalado neste ambiente (patch direto)</t>
  </si>
  <si>
    <t xml:space="preserve">Suíte Master + Closet</t>
  </si>
  <si>
    <t xml:space="preserve">AP-02</t>
  </si>
  <si>
    <t xml:space="preserve">CAM-03 (muro oeste)</t>
  </si>
  <si>
    <t xml:space="preserve">Ponto mais distante do rack (~26-29m)</t>
  </si>
  <si>
    <t xml:space="preserve">Suíte 01</t>
  </si>
  <si>
    <t xml:space="preserve">CAM-04 (muro leste)</t>
  </si>
  <si>
    <t xml:space="preserve">Suíte 02</t>
  </si>
  <si>
    <t xml:space="preserve">Área Gourmet + Deck</t>
  </si>
  <si>
    <t xml:space="preserve">AP-03 (externo)</t>
  </si>
  <si>
    <t xml:space="preserve">CAM-01/CAM-02 (cantos norte)</t>
  </si>
  <si>
    <t xml:space="preserve">Ponto externo coberto pelo beiral</t>
  </si>
  <si>
    <t xml:space="preserve">Piscina</t>
  </si>
  <si>
    <t xml:space="preserve">AP-03 (cobertura estendida)</t>
  </si>
  <si>
    <t xml:space="preserve">Sem equipamentos elétricos na borda molhada</t>
  </si>
  <si>
    <t xml:space="preserve">Garagem</t>
  </si>
  <si>
    <t xml:space="preserve">AP-04 (opcional, externo)</t>
  </si>
  <si>
    <t xml:space="preserve">CAM-07/CAM-08 (cantos sul)</t>
  </si>
  <si>
    <t xml:space="preserve">Entrada da ONU da operadora</t>
  </si>
  <si>
    <t xml:space="preserve">Depósito / Lavanderia / Secagem</t>
  </si>
  <si>
    <t xml:space="preserve">CAM-05 (muro oeste)</t>
  </si>
  <si>
    <t xml:space="preserve">Memória de Cálculo — Metragem de Cabo Cat6</t>
  </si>
  <si>
    <t xml:space="preserve">Fonte: escopo-rede-wifi-cftv-cabeamento.md, itens 5, 6.1 e 9 (estimativas de escopo, a validar em campo).</t>
  </si>
  <si>
    <t xml:space="preserve">Componente</t>
  </si>
  <si>
    <t xml:space="preserve">Valor</t>
  </si>
  <si>
    <t xml:space="preserve">Unidade</t>
  </si>
  <si>
    <t xml:space="preserve">Pontos internos/perimetrais (17 pontos: TVs+APs+câmeras) a partir do rack no Escritório</t>
  </si>
  <si>
    <t xml:space="preserve">m</t>
  </si>
  <si>
    <t xml:space="preserve">Estimativa de escopo — item 6.1</t>
  </si>
  <si>
    <t xml:space="preserve">Uplink ONU (Garagem) → rack (Escritório)</t>
  </si>
  <si>
    <t xml:space="preserve">Ponto médio da faixa 6-8m — item 6.1</t>
  </si>
  <si>
    <t xml:space="preserve">Reserva de subida/descida, curvas e emendas (~15%)</t>
  </si>
  <si>
    <t xml:space="preserve">Calculada = (linha 5 + linha 6) x 15%</t>
  </si>
  <si>
    <t xml:space="preserve">TOTAL ESTIMADO DE CABO CAT6</t>
  </si>
  <si>
    <t xml:space="preserve">Caixas de cabo Cat6 necessárias (305m cada)</t>
  </si>
  <si>
    <t xml:space="preserve">Deve bater com a quantidade da Lista de Materiais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</si>
</sst>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&quot;R$ &quot;#,##0.00;&quot;(R$ &quot;#,##0.00\);\-"/>
    <numFmt numFmtId="166" formatCode="&quot;R$ &quot;#,##0.00"/>
    <numFmt numFmtId="167" formatCode="General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4E78"/>
      <name val="Arial"/>
      <family val="0"/>
      <charset val="1"/>
    </font>
    <font>
      <i val="true"/>
      <sz val="9"/>
      <color rgb="FF595959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color rgb="FF0000FF"/>
      <name val="Arial"/>
      <family val="0"/>
      <charset val="1"/>
    </font>
    <font>
      <sz val="10"/>
      <color rgb="FF000000"/>
      <name val="Arial"/>
      <family val="0"/>
      <charset val="1"/>
    </font>
    <font>
      <b val="true"/>
      <sz val="11"/>
      <name val="Arial"/>
      <family val="0"/>
      <charset val="1"/>
    </font>
    <font>
      <sz val="10"/>
      <name val="Arial"/>
      <family val="0"/>
      <charset val="1"/>
    </font>
  </fonts>
  <fills count="8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DDEBF7"/>
        <bgColor rgb="FFEDEDED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EDEDED"/>
      </patternFill>
    </fill>
    <fill>
      <patternFill patternType="solid">
        <fgColor rgb="FFFFF2CC"/>
        <bgColor rgb="FFFCE4D6"/>
      </patternFill>
    </fill>
    <fill>
      <patternFill patternType="solid">
        <fgColor rgb="FFEDEDED"/>
        <bgColor rgb="FFE2EFDA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3" borderId="1" xfId="0" applyFont="false" applyBorder="true" applyAlignment="true" applyProtection="false">
      <alignment horizontal="center" vertical="top" textRotation="0" wrapText="true" indent="0" shrinkToFit="false"/>
      <protection locked="true" hidden="false"/>
    </xf>
    <xf numFmtId="164" fontId="0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1" xfId="0" applyFont="false" applyBorder="true" applyAlignment="true" applyProtection="false">
      <alignment horizontal="center" vertical="top" textRotation="0" wrapText="true" indent="0" shrinkToFit="false"/>
      <protection locked="true" hidden="false"/>
    </xf>
    <xf numFmtId="164" fontId="0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7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5" borderId="1" xfId="0" applyFont="false" applyBorder="true" applyAlignment="true" applyProtection="false">
      <alignment horizontal="center" vertical="top" textRotation="0" wrapText="true" indent="0" shrinkToFit="false"/>
      <protection locked="true" hidden="false"/>
    </xf>
    <xf numFmtId="164" fontId="0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7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6" borderId="1" xfId="0" applyFont="false" applyBorder="true" applyAlignment="true" applyProtection="false">
      <alignment horizontal="center" vertical="top" textRotation="0" wrapText="true" indent="0" shrinkToFit="false"/>
      <protection locked="true" hidden="false"/>
    </xf>
    <xf numFmtId="164" fontId="0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6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7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7" borderId="1" xfId="0" applyFont="false" applyBorder="true" applyAlignment="true" applyProtection="false">
      <alignment horizontal="center" vertical="top" textRotation="0" wrapText="true" indent="0" shrinkToFit="false"/>
      <protection locked="true" hidden="false"/>
    </xf>
    <xf numFmtId="164" fontId="0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7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7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9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0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0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0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0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0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9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2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9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DEDED"/>
      <rgbColor rgb="FFE2EFDA"/>
      <rgbColor rgb="FFFFFF99"/>
      <rgbColor rgb="FF99CCFF"/>
      <rgbColor rgb="FFFF99CC"/>
      <rgbColor rgb="FFCC99FF"/>
      <rgbColor rgb="FFFCE4D6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3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22"/>
    <col collapsed="false" customWidth="true" hidden="false" outlineLevel="0" max="3" min="3" style="0" width="34"/>
    <col collapsed="false" customWidth="true" hidden="false" outlineLevel="0" max="4" min="4" style="0" width="40"/>
    <col collapsed="false" customWidth="true" hidden="false" outlineLevel="0" max="5" min="5" style="0" width="26"/>
    <col collapsed="false" customWidth="true" hidden="false" outlineLevel="0" max="6" min="6" style="0" width="7"/>
    <col collapsed="false" customWidth="true" hidden="false" outlineLevel="0" max="7" min="7" style="0" width="6"/>
    <col collapsed="false" customWidth="true" hidden="false" outlineLevel="0" max="9" min="8" style="0" width="15"/>
    <col collapsed="false" customWidth="true" hidden="false" outlineLevel="0" max="10" min="10" style="0" width="40"/>
  </cols>
  <sheetData>
    <row r="1" customFormat="false" ht="17.35" hidden="false" customHeight="false" outlineLevel="0" collapsed="false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</row>
    <row r="2" customFormat="false" ht="15" hidden="false" customHeight="false" outlineLevel="0" collapsed="false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</row>
    <row r="3" customFormat="false" ht="15" hidden="false" customHeight="false" outlineLevel="0" collapsed="false">
      <c r="A3" s="2" t="s">
        <v>2</v>
      </c>
      <c r="B3" s="2"/>
      <c r="C3" s="2"/>
      <c r="D3" s="2"/>
      <c r="E3" s="2"/>
      <c r="F3" s="2"/>
      <c r="G3" s="2"/>
      <c r="H3" s="2"/>
      <c r="I3" s="2"/>
      <c r="J3" s="2"/>
    </row>
    <row r="5" customFormat="false" ht="15" hidden="false" customHeight="false" outlineLevel="0" collapsed="false">
      <c r="A5" s="3" t="s">
        <v>3</v>
      </c>
      <c r="B5" s="3" t="s">
        <v>4</v>
      </c>
      <c r="C5" s="3" t="s">
        <v>5</v>
      </c>
      <c r="D5" s="3" t="s">
        <v>6</v>
      </c>
      <c r="E5" s="3" t="s">
        <v>7</v>
      </c>
      <c r="F5" s="3" t="s">
        <v>8</v>
      </c>
      <c r="G5" s="3" t="s">
        <v>9</v>
      </c>
      <c r="H5" s="3" t="s">
        <v>10</v>
      </c>
      <c r="I5" s="3" t="s">
        <v>11</v>
      </c>
      <c r="J5" s="3" t="s">
        <v>12</v>
      </c>
    </row>
    <row r="6" customFormat="false" ht="15" hidden="false" customHeight="false" outlineLevel="0" collapsed="false">
      <c r="A6" s="4" t="n">
        <v>1</v>
      </c>
      <c r="B6" s="5" t="s">
        <v>13</v>
      </c>
      <c r="C6" s="5" t="s">
        <v>14</v>
      </c>
      <c r="D6" s="6" t="s">
        <v>15</v>
      </c>
      <c r="E6" s="6" t="s">
        <v>16</v>
      </c>
      <c r="F6" s="4" t="n">
        <v>1</v>
      </c>
      <c r="G6" s="4" t="s">
        <v>17</v>
      </c>
      <c r="H6" s="7"/>
      <c r="I6" s="8" t="str">
        <f aca="false">IF(H6="","",F6*H6)</f>
        <v/>
      </c>
      <c r="J6" s="6" t="s">
        <v>18</v>
      </c>
    </row>
    <row r="7" customFormat="false" ht="15" hidden="false" customHeight="false" outlineLevel="0" collapsed="false">
      <c r="A7" s="4" t="n">
        <v>2</v>
      </c>
      <c r="B7" s="5" t="s">
        <v>13</v>
      </c>
      <c r="C7" s="5" t="s">
        <v>14</v>
      </c>
      <c r="D7" s="6" t="s">
        <v>15</v>
      </c>
      <c r="E7" s="6" t="s">
        <v>19</v>
      </c>
      <c r="F7" s="4" t="n">
        <v>1</v>
      </c>
      <c r="G7" s="4" t="s">
        <v>17</v>
      </c>
      <c r="H7" s="7"/>
      <c r="I7" s="8" t="str">
        <f aca="false">IF(H7="","",F7*H7)</f>
        <v/>
      </c>
      <c r="J7" s="6" t="s">
        <v>18</v>
      </c>
    </row>
    <row r="8" customFormat="false" ht="15" hidden="false" customHeight="false" outlineLevel="0" collapsed="false">
      <c r="A8" s="4" t="n">
        <v>3</v>
      </c>
      <c r="B8" s="5" t="s">
        <v>13</v>
      </c>
      <c r="C8" s="5" t="s">
        <v>20</v>
      </c>
      <c r="D8" s="6" t="s">
        <v>21</v>
      </c>
      <c r="E8" s="6" t="s">
        <v>22</v>
      </c>
      <c r="F8" s="4" t="n">
        <v>1</v>
      </c>
      <c r="G8" s="4" t="s">
        <v>17</v>
      </c>
      <c r="H8" s="7"/>
      <c r="I8" s="8" t="str">
        <f aca="false">IF(H8="","",F8*H8)</f>
        <v/>
      </c>
      <c r="J8" s="6" t="s">
        <v>23</v>
      </c>
    </row>
    <row r="9" customFormat="false" ht="15" hidden="false" customHeight="false" outlineLevel="0" collapsed="false">
      <c r="A9" s="4" t="n">
        <v>4</v>
      </c>
      <c r="B9" s="5" t="s">
        <v>13</v>
      </c>
      <c r="C9" s="5" t="s">
        <v>20</v>
      </c>
      <c r="D9" s="6" t="s">
        <v>21</v>
      </c>
      <c r="E9" s="6" t="s">
        <v>24</v>
      </c>
      <c r="F9" s="4" t="n">
        <v>1</v>
      </c>
      <c r="G9" s="4" t="s">
        <v>17</v>
      </c>
      <c r="H9" s="7"/>
      <c r="I9" s="8" t="str">
        <f aca="false">IF(H9="","",F9*H9)</f>
        <v/>
      </c>
      <c r="J9" s="6" t="s">
        <v>25</v>
      </c>
    </row>
    <row r="10" customFormat="false" ht="15" hidden="false" customHeight="false" outlineLevel="0" collapsed="false">
      <c r="A10" s="4" t="n">
        <v>5</v>
      </c>
      <c r="B10" s="5" t="s">
        <v>13</v>
      </c>
      <c r="C10" s="5" t="s">
        <v>26</v>
      </c>
      <c r="D10" s="6" t="s">
        <v>27</v>
      </c>
      <c r="E10" s="6" t="s">
        <v>28</v>
      </c>
      <c r="F10" s="4" t="n">
        <v>2</v>
      </c>
      <c r="G10" s="4" t="s">
        <v>17</v>
      </c>
      <c r="H10" s="7"/>
      <c r="I10" s="8" t="str">
        <f aca="false">IF(H10="","",F10*H10)</f>
        <v/>
      </c>
      <c r="J10" s="6" t="s">
        <v>29</v>
      </c>
    </row>
    <row r="11" customFormat="false" ht="28.35" hidden="false" customHeight="false" outlineLevel="0" collapsed="false">
      <c r="A11" s="9" t="n">
        <v>6</v>
      </c>
      <c r="B11" s="10" t="s">
        <v>30</v>
      </c>
      <c r="C11" s="10" t="s">
        <v>31</v>
      </c>
      <c r="D11" s="11" t="s">
        <v>32</v>
      </c>
      <c r="E11" s="11" t="s">
        <v>33</v>
      </c>
      <c r="F11" s="9" t="n">
        <v>4</v>
      </c>
      <c r="G11" s="9" t="s">
        <v>17</v>
      </c>
      <c r="H11" s="12"/>
      <c r="I11" s="13" t="str">
        <f aca="false">IF(H11="","",F11*H11)</f>
        <v/>
      </c>
      <c r="J11" s="11" t="s">
        <v>34</v>
      </c>
    </row>
    <row r="12" customFormat="false" ht="28.35" hidden="false" customHeight="false" outlineLevel="0" collapsed="false">
      <c r="A12" s="9" t="n">
        <v>7</v>
      </c>
      <c r="B12" s="10" t="s">
        <v>30</v>
      </c>
      <c r="C12" s="10" t="s">
        <v>35</v>
      </c>
      <c r="D12" s="11" t="s">
        <v>36</v>
      </c>
      <c r="E12" s="11" t="s">
        <v>37</v>
      </c>
      <c r="F12" s="9" t="n">
        <v>4</v>
      </c>
      <c r="G12" s="9" t="s">
        <v>17</v>
      </c>
      <c r="H12" s="12"/>
      <c r="I12" s="13" t="str">
        <f aca="false">IF(H12="","",F12*H12)</f>
        <v/>
      </c>
      <c r="J12" s="11" t="s">
        <v>38</v>
      </c>
    </row>
    <row r="13" customFormat="false" ht="15" hidden="false" customHeight="false" outlineLevel="0" collapsed="false">
      <c r="A13" s="9" t="n">
        <v>8</v>
      </c>
      <c r="B13" s="10" t="s">
        <v>30</v>
      </c>
      <c r="C13" s="10" t="s">
        <v>39</v>
      </c>
      <c r="D13" s="11" t="s">
        <v>40</v>
      </c>
      <c r="E13" s="11" t="s">
        <v>41</v>
      </c>
      <c r="F13" s="9" t="n">
        <v>1</v>
      </c>
      <c r="G13" s="9" t="s">
        <v>17</v>
      </c>
      <c r="H13" s="12"/>
      <c r="I13" s="13" t="str">
        <f aca="false">IF(H13="","",F13*H13)</f>
        <v/>
      </c>
      <c r="J13" s="11" t="s">
        <v>29</v>
      </c>
    </row>
    <row r="14" customFormat="false" ht="15" hidden="false" customHeight="false" outlineLevel="0" collapsed="false">
      <c r="A14" s="9" t="n">
        <v>9</v>
      </c>
      <c r="B14" s="10" t="s">
        <v>30</v>
      </c>
      <c r="C14" s="10" t="s">
        <v>42</v>
      </c>
      <c r="D14" s="11" t="s">
        <v>43</v>
      </c>
      <c r="E14" s="11" t="s">
        <v>41</v>
      </c>
      <c r="F14" s="9" t="n">
        <v>1</v>
      </c>
      <c r="G14" s="9" t="s">
        <v>17</v>
      </c>
      <c r="H14" s="12"/>
      <c r="I14" s="13" t="str">
        <f aca="false">IF(H14="","",F14*H14)</f>
        <v/>
      </c>
      <c r="J14" s="11" t="s">
        <v>44</v>
      </c>
    </row>
    <row r="15" customFormat="false" ht="15" hidden="false" customHeight="false" outlineLevel="0" collapsed="false">
      <c r="A15" s="9" t="n">
        <v>10</v>
      </c>
      <c r="B15" s="10" t="s">
        <v>30</v>
      </c>
      <c r="C15" s="10" t="s">
        <v>45</v>
      </c>
      <c r="D15" s="11" t="s">
        <v>46</v>
      </c>
      <c r="E15" s="11" t="s">
        <v>47</v>
      </c>
      <c r="F15" s="9" t="n">
        <v>5</v>
      </c>
      <c r="G15" s="9" t="s">
        <v>17</v>
      </c>
      <c r="H15" s="12"/>
      <c r="I15" s="13" t="str">
        <f aca="false">IF(H15="","",F15*H15)</f>
        <v/>
      </c>
      <c r="J15" s="11" t="s">
        <v>29</v>
      </c>
    </row>
    <row r="16" customFormat="false" ht="55.2" hidden="false" customHeight="false" outlineLevel="0" collapsed="false">
      <c r="A16" s="14" t="n">
        <v>11</v>
      </c>
      <c r="B16" s="15" t="s">
        <v>48</v>
      </c>
      <c r="C16" s="15" t="s">
        <v>49</v>
      </c>
      <c r="D16" s="16" t="s">
        <v>50</v>
      </c>
      <c r="E16" s="16" t="s">
        <v>51</v>
      </c>
      <c r="F16" s="14" t="n">
        <v>1</v>
      </c>
      <c r="G16" s="14" t="s">
        <v>52</v>
      </c>
      <c r="H16" s="17"/>
      <c r="I16" s="18" t="str">
        <f aca="false">IF(H16="","",F16*H16)</f>
        <v/>
      </c>
      <c r="J16" s="16" t="s">
        <v>53</v>
      </c>
    </row>
    <row r="17" customFormat="false" ht="15" hidden="false" customHeight="false" outlineLevel="0" collapsed="false">
      <c r="A17" s="14" t="n">
        <v>12</v>
      </c>
      <c r="B17" s="15" t="s">
        <v>48</v>
      </c>
      <c r="C17" s="15" t="s">
        <v>54</v>
      </c>
      <c r="D17" s="16" t="s">
        <v>55</v>
      </c>
      <c r="E17" s="16" t="s">
        <v>56</v>
      </c>
      <c r="F17" s="14" t="n">
        <v>20</v>
      </c>
      <c r="G17" s="14" t="s">
        <v>17</v>
      </c>
      <c r="H17" s="17"/>
      <c r="I17" s="18" t="str">
        <f aca="false">IF(H17="","",F17*H17)</f>
        <v/>
      </c>
      <c r="J17" s="16" t="s">
        <v>57</v>
      </c>
    </row>
    <row r="18" customFormat="false" ht="28.35" hidden="false" customHeight="false" outlineLevel="0" collapsed="false">
      <c r="A18" s="14" t="n">
        <v>13</v>
      </c>
      <c r="B18" s="15" t="s">
        <v>48</v>
      </c>
      <c r="C18" s="15" t="s">
        <v>58</v>
      </c>
      <c r="D18" s="16" t="s">
        <v>59</v>
      </c>
      <c r="E18" s="16" t="s">
        <v>60</v>
      </c>
      <c r="F18" s="14" t="n">
        <v>6</v>
      </c>
      <c r="G18" s="14" t="s">
        <v>17</v>
      </c>
      <c r="H18" s="17"/>
      <c r="I18" s="18" t="str">
        <f aca="false">IF(H18="","",F18*H18)</f>
        <v/>
      </c>
      <c r="J18" s="16" t="s">
        <v>29</v>
      </c>
    </row>
    <row r="19" customFormat="false" ht="28.35" hidden="false" customHeight="false" outlineLevel="0" collapsed="false">
      <c r="A19" s="14" t="n">
        <v>14</v>
      </c>
      <c r="B19" s="15" t="s">
        <v>48</v>
      </c>
      <c r="C19" s="15" t="s">
        <v>61</v>
      </c>
      <c r="D19" s="16" t="s">
        <v>62</v>
      </c>
      <c r="E19" s="16" t="s">
        <v>63</v>
      </c>
      <c r="F19" s="14" t="n">
        <v>12</v>
      </c>
      <c r="G19" s="14" t="s">
        <v>17</v>
      </c>
      <c r="H19" s="17"/>
      <c r="I19" s="18" t="str">
        <f aca="false">IF(H19="","",F19*H19)</f>
        <v/>
      </c>
      <c r="J19" s="16" t="s">
        <v>29</v>
      </c>
    </row>
    <row r="20" customFormat="false" ht="15" hidden="false" customHeight="false" outlineLevel="0" collapsed="false">
      <c r="A20" s="14" t="n">
        <v>15</v>
      </c>
      <c r="B20" s="15" t="s">
        <v>48</v>
      </c>
      <c r="C20" s="15" t="s">
        <v>64</v>
      </c>
      <c r="D20" s="16" t="s">
        <v>65</v>
      </c>
      <c r="E20" s="16" t="s">
        <v>66</v>
      </c>
      <c r="F20" s="14" t="n">
        <v>3</v>
      </c>
      <c r="G20" s="14" t="s">
        <v>67</v>
      </c>
      <c r="H20" s="17"/>
      <c r="I20" s="18" t="str">
        <f aca="false">IF(H20="","",F20*H20)</f>
        <v/>
      </c>
      <c r="J20" s="16" t="s">
        <v>68</v>
      </c>
    </row>
    <row r="21" customFormat="false" ht="28.35" hidden="false" customHeight="false" outlineLevel="0" collapsed="false">
      <c r="A21" s="14" t="n">
        <v>16</v>
      </c>
      <c r="B21" s="15" t="s">
        <v>48</v>
      </c>
      <c r="C21" s="15" t="s">
        <v>69</v>
      </c>
      <c r="D21" s="16" t="s">
        <v>70</v>
      </c>
      <c r="E21" s="16" t="s">
        <v>71</v>
      </c>
      <c r="F21" s="14" t="n">
        <v>20</v>
      </c>
      <c r="G21" s="14" t="s">
        <v>17</v>
      </c>
      <c r="H21" s="17"/>
      <c r="I21" s="18" t="str">
        <f aca="false">IF(H21="","",F21*H21)</f>
        <v/>
      </c>
      <c r="J21" s="16" t="s">
        <v>29</v>
      </c>
    </row>
    <row r="22" customFormat="false" ht="15" hidden="false" customHeight="false" outlineLevel="0" collapsed="false">
      <c r="A22" s="14" t="n">
        <v>17</v>
      </c>
      <c r="B22" s="15" t="s">
        <v>48</v>
      </c>
      <c r="C22" s="15" t="s">
        <v>72</v>
      </c>
      <c r="D22" s="16" t="s">
        <v>73</v>
      </c>
      <c r="E22" s="16" t="s">
        <v>74</v>
      </c>
      <c r="F22" s="14" t="n">
        <v>20</v>
      </c>
      <c r="G22" s="14" t="s">
        <v>17</v>
      </c>
      <c r="H22" s="17"/>
      <c r="I22" s="18" t="str">
        <f aca="false">IF(H22="","",F22*H22)</f>
        <v/>
      </c>
      <c r="J22" s="16" t="s">
        <v>29</v>
      </c>
    </row>
    <row r="23" customFormat="false" ht="28.35" hidden="false" customHeight="false" outlineLevel="0" collapsed="false">
      <c r="A23" s="19" t="n">
        <v>18</v>
      </c>
      <c r="B23" s="20" t="s">
        <v>75</v>
      </c>
      <c r="C23" s="20" t="s">
        <v>76</v>
      </c>
      <c r="D23" s="21" t="s">
        <v>77</v>
      </c>
      <c r="E23" s="21" t="s">
        <v>78</v>
      </c>
      <c r="F23" s="19" t="n">
        <v>1</v>
      </c>
      <c r="G23" s="19" t="s">
        <v>17</v>
      </c>
      <c r="H23" s="22"/>
      <c r="I23" s="23" t="str">
        <f aca="false">IF(H23="","",F23*H23)</f>
        <v/>
      </c>
      <c r="J23" s="21" t="s">
        <v>79</v>
      </c>
    </row>
    <row r="24" customFormat="false" ht="15" hidden="false" customHeight="false" outlineLevel="0" collapsed="false">
      <c r="A24" s="19" t="n">
        <v>19</v>
      </c>
      <c r="B24" s="20" t="s">
        <v>75</v>
      </c>
      <c r="C24" s="20" t="s">
        <v>80</v>
      </c>
      <c r="D24" s="21" t="s">
        <v>29</v>
      </c>
      <c r="E24" s="21" t="s">
        <v>41</v>
      </c>
      <c r="F24" s="19" t="n">
        <v>1</v>
      </c>
      <c r="G24" s="19" t="s">
        <v>17</v>
      </c>
      <c r="H24" s="22"/>
      <c r="I24" s="23" t="str">
        <f aca="false">IF(H24="","",F24*H24)</f>
        <v/>
      </c>
      <c r="J24" s="21" t="s">
        <v>29</v>
      </c>
    </row>
    <row r="25" customFormat="false" ht="15" hidden="false" customHeight="false" outlineLevel="0" collapsed="false">
      <c r="A25" s="19" t="n">
        <v>20</v>
      </c>
      <c r="B25" s="20" t="s">
        <v>75</v>
      </c>
      <c r="C25" s="20" t="s">
        <v>81</v>
      </c>
      <c r="D25" s="21" t="s">
        <v>29</v>
      </c>
      <c r="E25" s="21" t="s">
        <v>41</v>
      </c>
      <c r="F25" s="19" t="n">
        <v>2</v>
      </c>
      <c r="G25" s="19" t="s">
        <v>17</v>
      </c>
      <c r="H25" s="22"/>
      <c r="I25" s="23" t="str">
        <f aca="false">IF(H25="","",F25*H25)</f>
        <v/>
      </c>
      <c r="J25" s="21" t="s">
        <v>29</v>
      </c>
    </row>
    <row r="26" customFormat="false" ht="15" hidden="false" customHeight="false" outlineLevel="0" collapsed="false">
      <c r="A26" s="19" t="n">
        <v>21</v>
      </c>
      <c r="B26" s="20" t="s">
        <v>75</v>
      </c>
      <c r="C26" s="20" t="s">
        <v>82</v>
      </c>
      <c r="D26" s="21" t="s">
        <v>83</v>
      </c>
      <c r="E26" s="21" t="s">
        <v>41</v>
      </c>
      <c r="F26" s="19" t="n">
        <v>1</v>
      </c>
      <c r="G26" s="19" t="s">
        <v>17</v>
      </c>
      <c r="H26" s="22"/>
      <c r="I26" s="23" t="str">
        <f aca="false">IF(H26="","",F26*H26)</f>
        <v/>
      </c>
      <c r="J26" s="21" t="s">
        <v>84</v>
      </c>
    </row>
    <row r="27" customFormat="false" ht="15" hidden="false" customHeight="false" outlineLevel="0" collapsed="false">
      <c r="A27" s="19" t="n">
        <v>22</v>
      </c>
      <c r="B27" s="20" t="s">
        <v>75</v>
      </c>
      <c r="C27" s="20" t="s">
        <v>85</v>
      </c>
      <c r="D27" s="21" t="s">
        <v>86</v>
      </c>
      <c r="E27" s="21" t="s">
        <v>78</v>
      </c>
      <c r="F27" s="19" t="n">
        <v>1</v>
      </c>
      <c r="G27" s="19" t="s">
        <v>17</v>
      </c>
      <c r="H27" s="22"/>
      <c r="I27" s="23" t="str">
        <f aca="false">IF(H27="","",F27*H27)</f>
        <v/>
      </c>
      <c r="J27" s="21" t="s">
        <v>87</v>
      </c>
    </row>
    <row r="28" customFormat="false" ht="15" hidden="false" customHeight="false" outlineLevel="0" collapsed="false">
      <c r="A28" s="19" t="n">
        <v>23</v>
      </c>
      <c r="B28" s="20" t="s">
        <v>75</v>
      </c>
      <c r="C28" s="20" t="s">
        <v>88</v>
      </c>
      <c r="D28" s="21" t="s">
        <v>89</v>
      </c>
      <c r="E28" s="21" t="s">
        <v>41</v>
      </c>
      <c r="F28" s="19" t="n">
        <v>1</v>
      </c>
      <c r="G28" s="19" t="s">
        <v>17</v>
      </c>
      <c r="H28" s="22"/>
      <c r="I28" s="23" t="str">
        <f aca="false">IF(H28="","",F28*H28)</f>
        <v/>
      </c>
      <c r="J28" s="21" t="s">
        <v>29</v>
      </c>
    </row>
    <row r="29" customFormat="false" ht="28.35" hidden="false" customHeight="false" outlineLevel="0" collapsed="false">
      <c r="A29" s="24" t="n">
        <v>24</v>
      </c>
      <c r="B29" s="25" t="s">
        <v>90</v>
      </c>
      <c r="C29" s="25" t="s">
        <v>91</v>
      </c>
      <c r="D29" s="26" t="s">
        <v>92</v>
      </c>
      <c r="E29" s="26" t="s">
        <v>74</v>
      </c>
      <c r="F29" s="24" t="n">
        <v>1</v>
      </c>
      <c r="G29" s="24" t="s">
        <v>93</v>
      </c>
      <c r="H29" s="27"/>
      <c r="I29" s="28" t="str">
        <f aca="false">IF(H29="","",F29*H29)</f>
        <v/>
      </c>
      <c r="J29" s="26" t="s">
        <v>94</v>
      </c>
    </row>
    <row r="31" customFormat="false" ht="15" hidden="false" customHeight="false" outlineLevel="0" collapsed="false">
      <c r="C31" s="29" t="s">
        <v>95</v>
      </c>
      <c r="D31" s="29"/>
      <c r="E31" s="29"/>
      <c r="F31" s="29"/>
      <c r="G31" s="29"/>
      <c r="H31" s="29"/>
      <c r="I31" s="30" t="n">
        <f aca="false">SUM(I6:I29)</f>
        <v>0</v>
      </c>
    </row>
    <row r="33" customFormat="false" ht="15" hidden="false" customHeight="false" outlineLevel="0" collapsed="false">
      <c r="A33" s="2" t="s">
        <v>96</v>
      </c>
      <c r="B33" s="2"/>
      <c r="C33" s="2"/>
      <c r="D33" s="2"/>
      <c r="E33" s="2"/>
      <c r="F33" s="2"/>
      <c r="G33" s="2"/>
      <c r="H33" s="2"/>
      <c r="I33" s="2"/>
      <c r="J33" s="2"/>
    </row>
  </sheetData>
  <mergeCells count="5">
    <mergeCell ref="A1:J1"/>
    <mergeCell ref="A2:J2"/>
    <mergeCell ref="A3:J3"/>
    <mergeCell ref="C31:H31"/>
    <mergeCell ref="A33:J3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3" min="2" style="0" width="16"/>
  </cols>
  <sheetData>
    <row r="1" customFormat="false" ht="17.35" hidden="false" customHeight="false" outlineLevel="0" collapsed="false">
      <c r="A1" s="1" t="s">
        <v>97</v>
      </c>
      <c r="B1" s="1"/>
      <c r="C1" s="1"/>
    </row>
    <row r="3" customFormat="false" ht="15" hidden="false" customHeight="false" outlineLevel="0" collapsed="false">
      <c r="A3" s="3" t="s">
        <v>4</v>
      </c>
      <c r="B3" s="3" t="s">
        <v>98</v>
      </c>
      <c r="C3" s="3" t="s">
        <v>99</v>
      </c>
    </row>
    <row r="4" customFormat="false" ht="15" hidden="false" customHeight="false" outlineLevel="0" collapsed="false">
      <c r="A4" s="31" t="s">
        <v>13</v>
      </c>
      <c r="B4" s="31" t="n">
        <f aca="false">COUNTIF('Lista de Materiais'!$B$6:$B$29,A4)</f>
        <v>5</v>
      </c>
      <c r="C4" s="32" t="n">
        <f aca="false">SUMIF('Lista de Materiais'!$B$6:$B$29,A4,'Lista de Materiais'!$I$6:$I$29)</f>
        <v>0</v>
      </c>
    </row>
    <row r="5" customFormat="false" ht="15" hidden="false" customHeight="false" outlineLevel="0" collapsed="false">
      <c r="A5" s="33" t="s">
        <v>30</v>
      </c>
      <c r="B5" s="33" t="n">
        <f aca="false">COUNTIF('Lista de Materiais'!$B$6:$B$29,A5)</f>
        <v>5</v>
      </c>
      <c r="C5" s="34" t="n">
        <f aca="false">SUMIF('Lista de Materiais'!$B$6:$B$29,A5,'Lista de Materiais'!$I$6:$I$29)</f>
        <v>0</v>
      </c>
    </row>
    <row r="6" customFormat="false" ht="15" hidden="false" customHeight="false" outlineLevel="0" collapsed="false">
      <c r="A6" s="35" t="s">
        <v>48</v>
      </c>
      <c r="B6" s="35" t="n">
        <f aca="false">COUNTIF('Lista de Materiais'!$B$6:$B$29,A6)</f>
        <v>7</v>
      </c>
      <c r="C6" s="36" t="n">
        <f aca="false">SUMIF('Lista de Materiais'!$B$6:$B$29,A6,'Lista de Materiais'!$I$6:$I$29)</f>
        <v>0</v>
      </c>
    </row>
    <row r="7" customFormat="false" ht="15" hidden="false" customHeight="false" outlineLevel="0" collapsed="false">
      <c r="A7" s="37" t="s">
        <v>75</v>
      </c>
      <c r="B7" s="37" t="n">
        <f aca="false">COUNTIF('Lista de Materiais'!$B$6:$B$29,A7)</f>
        <v>6</v>
      </c>
      <c r="C7" s="38" t="n">
        <f aca="false">SUMIF('Lista de Materiais'!$B$6:$B$29,A7,'Lista de Materiais'!$I$6:$I$29)</f>
        <v>0</v>
      </c>
    </row>
    <row r="8" customFormat="false" ht="15" hidden="false" customHeight="false" outlineLevel="0" collapsed="false">
      <c r="A8" s="39" t="s">
        <v>90</v>
      </c>
      <c r="B8" s="39" t="n">
        <f aca="false">COUNTIF('Lista de Materiais'!$B$6:$B$29,A8)</f>
        <v>1</v>
      </c>
      <c r="C8" s="40" t="n">
        <f aca="false">SUMIF('Lista de Materiais'!$B$6:$B$29,A8,'Lista de Materiais'!$I$6:$I$29)</f>
        <v>0</v>
      </c>
    </row>
    <row r="10" customFormat="false" ht="15" hidden="false" customHeight="false" outlineLevel="0" collapsed="false">
      <c r="A10" s="41" t="s">
        <v>100</v>
      </c>
      <c r="C10" s="42" t="n">
        <f aca="false">SUM(C4:C8)</f>
        <v>0</v>
      </c>
    </row>
  </sheetData>
  <mergeCells count="1">
    <mergeCell ref="A1:C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6"/>
    <col collapsed="false" customWidth="true" hidden="false" outlineLevel="0" max="4" min="4" style="0" width="14"/>
    <col collapsed="false" customWidth="true" hidden="false" outlineLevel="0" max="5" min="5" style="0" width="40"/>
  </cols>
  <sheetData>
    <row r="1" customFormat="false" ht="17.35" hidden="false" customHeight="false" outlineLevel="0" collapsed="false">
      <c r="A1" s="1" t="s">
        <v>101</v>
      </c>
      <c r="B1" s="1"/>
      <c r="C1" s="1"/>
      <c r="D1" s="1"/>
      <c r="E1" s="1"/>
    </row>
    <row r="2" customFormat="false" ht="15" hidden="false" customHeight="false" outlineLevel="0" collapsed="false">
      <c r="A2" s="2" t="s">
        <v>102</v>
      </c>
      <c r="B2" s="2"/>
      <c r="C2" s="2"/>
      <c r="D2" s="2"/>
      <c r="E2" s="2"/>
    </row>
    <row r="4" customFormat="false" ht="15" hidden="false" customHeight="false" outlineLevel="0" collapsed="false">
      <c r="A4" s="3" t="s">
        <v>103</v>
      </c>
      <c r="B4" s="3" t="s">
        <v>104</v>
      </c>
      <c r="C4" s="3" t="s">
        <v>105</v>
      </c>
      <c r="D4" s="3" t="s">
        <v>106</v>
      </c>
      <c r="E4" s="3" t="s">
        <v>107</v>
      </c>
    </row>
    <row r="5" customFormat="false" ht="15" hidden="false" customHeight="false" outlineLevel="0" collapsed="false">
      <c r="A5" s="43" t="s">
        <v>108</v>
      </c>
      <c r="B5" s="43" t="s">
        <v>109</v>
      </c>
      <c r="C5" s="43" t="s">
        <v>29</v>
      </c>
      <c r="D5" s="43" t="s">
        <v>110</v>
      </c>
      <c r="E5" s="43" t="s">
        <v>111</v>
      </c>
    </row>
    <row r="6" customFormat="false" ht="15" hidden="false" customHeight="false" outlineLevel="0" collapsed="false">
      <c r="A6" s="43" t="s">
        <v>112</v>
      </c>
      <c r="B6" s="43" t="s">
        <v>113</v>
      </c>
      <c r="C6" s="43" t="s">
        <v>29</v>
      </c>
      <c r="D6" s="43" t="s">
        <v>29</v>
      </c>
      <c r="E6" s="43" t="s">
        <v>29</v>
      </c>
    </row>
    <row r="7" customFormat="false" ht="15" hidden="false" customHeight="false" outlineLevel="0" collapsed="false">
      <c r="A7" s="43" t="s">
        <v>78</v>
      </c>
      <c r="B7" s="43" t="s">
        <v>113</v>
      </c>
      <c r="C7" s="43" t="s">
        <v>114</v>
      </c>
      <c r="D7" s="43" t="s">
        <v>110</v>
      </c>
      <c r="E7" s="43" t="s">
        <v>115</v>
      </c>
    </row>
    <row r="8" customFormat="false" ht="15" hidden="false" customHeight="false" outlineLevel="0" collapsed="false">
      <c r="A8" s="43" t="s">
        <v>116</v>
      </c>
      <c r="B8" s="43" t="s">
        <v>117</v>
      </c>
      <c r="C8" s="43" t="s">
        <v>118</v>
      </c>
      <c r="D8" s="43" t="s">
        <v>110</v>
      </c>
      <c r="E8" s="43" t="s">
        <v>119</v>
      </c>
    </row>
    <row r="9" customFormat="false" ht="15" hidden="false" customHeight="false" outlineLevel="0" collapsed="false">
      <c r="A9" s="43" t="s">
        <v>120</v>
      </c>
      <c r="B9" s="43" t="s">
        <v>117</v>
      </c>
      <c r="C9" s="43" t="s">
        <v>121</v>
      </c>
      <c r="D9" s="43" t="s">
        <v>110</v>
      </c>
      <c r="E9" s="43" t="s">
        <v>29</v>
      </c>
    </row>
    <row r="10" customFormat="false" ht="15" hidden="false" customHeight="false" outlineLevel="0" collapsed="false">
      <c r="A10" s="43" t="s">
        <v>122</v>
      </c>
      <c r="B10" s="43" t="s">
        <v>117</v>
      </c>
      <c r="C10" s="43" t="s">
        <v>121</v>
      </c>
      <c r="D10" s="43" t="s">
        <v>110</v>
      </c>
      <c r="E10" s="43" t="s">
        <v>29</v>
      </c>
    </row>
    <row r="11" customFormat="false" ht="15" hidden="false" customHeight="false" outlineLevel="0" collapsed="false">
      <c r="A11" s="43" t="s">
        <v>123</v>
      </c>
      <c r="B11" s="43" t="s">
        <v>124</v>
      </c>
      <c r="C11" s="43" t="s">
        <v>125</v>
      </c>
      <c r="D11" s="43" t="s">
        <v>110</v>
      </c>
      <c r="E11" s="43" t="s">
        <v>126</v>
      </c>
    </row>
    <row r="12" customFormat="false" ht="15" hidden="false" customHeight="false" outlineLevel="0" collapsed="false">
      <c r="A12" s="43" t="s">
        <v>127</v>
      </c>
      <c r="B12" s="43" t="s">
        <v>128</v>
      </c>
      <c r="C12" s="43" t="s">
        <v>125</v>
      </c>
      <c r="D12" s="43" t="s">
        <v>29</v>
      </c>
      <c r="E12" s="43" t="s">
        <v>129</v>
      </c>
    </row>
    <row r="13" customFormat="false" ht="15" hidden="false" customHeight="false" outlineLevel="0" collapsed="false">
      <c r="A13" s="43" t="s">
        <v>130</v>
      </c>
      <c r="B13" s="43" t="s">
        <v>131</v>
      </c>
      <c r="C13" s="43" t="s">
        <v>132</v>
      </c>
      <c r="D13" s="43" t="s">
        <v>29</v>
      </c>
      <c r="E13" s="43" t="s">
        <v>133</v>
      </c>
    </row>
    <row r="14" customFormat="false" ht="15" hidden="false" customHeight="false" outlineLevel="0" collapsed="false">
      <c r="A14" s="43" t="s">
        <v>134</v>
      </c>
      <c r="B14" s="43" t="s">
        <v>113</v>
      </c>
      <c r="C14" s="43" t="s">
        <v>135</v>
      </c>
      <c r="D14" s="43" t="s">
        <v>29</v>
      </c>
      <c r="E14" s="43" t="s">
        <v>29</v>
      </c>
    </row>
  </sheetData>
  <mergeCells count="2">
    <mergeCell ref="A1:E1"/>
    <mergeCell ref="A2:E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5"/>
    <col collapsed="false" customWidth="true" hidden="false" outlineLevel="0" max="2" min="2" style="0" width="12"/>
    <col collapsed="false" customWidth="true" hidden="false" outlineLevel="0" max="3" min="3" style="0" width="10"/>
    <col collapsed="false" customWidth="true" hidden="false" outlineLevel="0" max="4" min="4" style="0" width="40"/>
  </cols>
  <sheetData>
    <row r="1" customFormat="false" ht="17.35" hidden="false" customHeight="false" outlineLevel="0" collapsed="false">
      <c r="A1" s="1" t="s">
        <v>136</v>
      </c>
      <c r="B1" s="1"/>
      <c r="C1" s="1"/>
      <c r="D1" s="1"/>
    </row>
    <row r="2" customFormat="false" ht="15" hidden="false" customHeight="false" outlineLevel="0" collapsed="false">
      <c r="A2" s="2" t="s">
        <v>137</v>
      </c>
      <c r="B2" s="2"/>
      <c r="C2" s="2"/>
      <c r="D2" s="2"/>
    </row>
    <row r="4" customFormat="false" ht="15" hidden="false" customHeight="false" outlineLevel="0" collapsed="false">
      <c r="A4" s="44" t="s">
        <v>138</v>
      </c>
      <c r="B4" s="45" t="s">
        <v>139</v>
      </c>
      <c r="C4" s="45" t="s">
        <v>140</v>
      </c>
      <c r="D4" s="44" t="s">
        <v>107</v>
      </c>
    </row>
    <row r="5" customFormat="false" ht="23.85" hidden="false" customHeight="false" outlineLevel="0" collapsed="false">
      <c r="A5" s="43" t="s">
        <v>141</v>
      </c>
      <c r="B5" s="46" t="n">
        <v>165</v>
      </c>
      <c r="C5" s="47" t="s">
        <v>142</v>
      </c>
      <c r="D5" s="43" t="s">
        <v>143</v>
      </c>
    </row>
    <row r="6" customFormat="false" ht="15" hidden="false" customHeight="false" outlineLevel="0" collapsed="false">
      <c r="A6" s="43" t="s">
        <v>144</v>
      </c>
      <c r="B6" s="46" t="n">
        <v>7</v>
      </c>
      <c r="C6" s="47" t="s">
        <v>142</v>
      </c>
      <c r="D6" s="43" t="s">
        <v>145</v>
      </c>
    </row>
    <row r="7" customFormat="false" ht="15" hidden="false" customHeight="false" outlineLevel="0" collapsed="false">
      <c r="A7" s="43" t="s">
        <v>146</v>
      </c>
      <c r="B7" s="47" t="n">
        <f aca="false">(B5+B6)*0.15</f>
        <v>25.8</v>
      </c>
      <c r="C7" s="47" t="s">
        <v>142</v>
      </c>
      <c r="D7" s="43" t="s">
        <v>147</v>
      </c>
    </row>
    <row r="8" customFormat="false" ht="15" hidden="false" customHeight="false" outlineLevel="0" collapsed="false">
      <c r="A8" s="43"/>
      <c r="B8" s="47"/>
      <c r="C8" s="47"/>
      <c r="D8" s="43"/>
    </row>
    <row r="9" customFormat="false" ht="15" hidden="false" customHeight="false" outlineLevel="0" collapsed="false">
      <c r="A9" s="48" t="s">
        <v>148</v>
      </c>
      <c r="B9" s="49" t="n">
        <f aca="false">B5+B6+B7</f>
        <v>197.8</v>
      </c>
      <c r="C9" s="47" t="s">
        <v>142</v>
      </c>
      <c r="D9" s="43"/>
    </row>
    <row r="10" customFormat="false" ht="15" hidden="false" customHeight="false" outlineLevel="0" collapsed="false">
      <c r="A10" s="43" t="s">
        <v>149</v>
      </c>
      <c r="B10" s="47" t="n">
        <f aca="false">ROUNDUP(B9/305,0)</f>
        <v>1</v>
      </c>
      <c r="C10" s="47" t="s">
        <v>52</v>
      </c>
      <c r="D10" s="43" t="s">
        <v>150</v>
      </c>
    </row>
  </sheetData>
  <mergeCells count="2">
    <mergeCell ref="A1:D1"/>
    <mergeCell ref="A2:D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2026-09-18T01:51:32Z</dcterms:created>
  <dc:creator>openpyxl</dc:creator>
  <dc:description/>
  <dc:language>en-US</dc:language>
  <cp:lastModifiedBy/>
  <dcterms:modified xsi:type="dcterms:W3CDTF">2026-09-18T01:51:32Z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